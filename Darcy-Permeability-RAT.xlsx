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Methods &amp; References" sheetId="2" state="visible" r:id="rId2"/>
    <sheet name="Reference Data" sheetId="3" state="visible" r:id="rId3"/>
  </sheets>
  <definedNames>
    <definedName name="wOperator">Calculator!$C$4</definedName>
    <definedName name="wField">Calculator!$C$5</definedName>
    <definedName name="wWell">Calculator!$C$6</definedName>
    <definedName name="wAPI">Calculator!$C$7</definedName>
    <definedName name="wUIC">Calculator!$C$8</definedName>
    <definedName name="wDate">Calculator!$C$9</definedName>
    <definedName name="P_surf">Calculator!$C$11</definedName>
    <definedName name="q">Calculator!$C$12</definedName>
    <definedName name="T_BH">Calculator!$C$13</definedName>
    <definedName name="L">Calculator!$C$15</definedName>
    <definedName name="d_i">Calculator!$C$16</definedName>
    <definedName name="eps">Calculator!$C$17</definedName>
    <definedName name="r_w">Calculator!$C$18</definedName>
    <definedName name="grad">Calculator!$C$20</definedName>
    <definedName name="rho">Calculator!$C$21</definedName>
    <definedName name="mu_calc">Calculator!$C$22</definedName>
    <definedName name="mu_ovr">Calculator!$C$23</definedName>
    <definedName name="mu">Calculator!$C$24</definedName>
    <definedName name="B_w">Calculator!$C$25</definedName>
    <definedName name="Pe_mode">Calculator!$C$27</definedName>
    <definedName name="Pe_A">Calculator!$C$28</definedName>
    <definedName name="z_fl">Calculator!$C$29</definedName>
    <definedName name="grad_s">Calculator!$C$30</definedName>
    <definedName name="grad_r">Calculator!$C$31</definedName>
    <definedName name="r_e">Calculator!$C$32</definedName>
    <definedName name="h_eff">Calculator!$C$33</definedName>
    <definedName name="h_perf">Calculator!$C$34</definedName>
    <definedName name="s_skin">Calculator!$C$35</definedName>
    <definedName name="rho_gal">Calculator!$C$37</definedName>
    <definedName name="Re_n">Calculator!$C$38</definedName>
    <definedName name="regime">Calculator!$C$39</definedName>
    <definedName name="f_fan">Calculator!$C$40</definedName>
    <definedName name="dP_fric">Calculator!$C$41</definedName>
    <definedName name="P_hydro">Calculator!$C$42</definedName>
    <definedName name="P_wf">Calculator!$C$43</definedName>
    <definedName name="P_e">Calculator!$C$44</definedName>
    <definedName name="modeB_chk">Calculator!$C$45</definedName>
    <definedName name="dP_form">Calculator!$C$46</definedName>
    <definedName name="lnRatio">Calculator!$C$47</definedName>
    <definedName name="entryEff">Calculator!$C$48</definedName>
    <definedName name="k_eff">Calculator!$C$50</definedName>
    <definedName name="kh">Calculator!$C$52</definedName>
    <definedName name="II_idx">Calculator!$C$53</definedName>
    <definedName name="IIh">Calculator!$C$54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1F4E5F"/>
      <sz val="11"/>
    </font>
    <font>
      <name val="Calibri"/>
      <b val="1"/>
      <color rgb="00222222"/>
      <sz val="10"/>
    </font>
    <font>
      <name val="Consolas"/>
      <b val="1"/>
      <color rgb="0014406B"/>
      <sz val="11"/>
    </font>
    <font>
      <name val="Cambria Math"/>
      <i val="1"/>
      <color rgb="00444444"/>
      <sz val="10"/>
    </font>
    <font>
      <name val="Calibri"/>
      <color rgb="00555555"/>
      <sz val="9"/>
    </font>
    <font>
      <name val="Calibri"/>
      <i val="1"/>
      <color rgb="00555555"/>
      <sz val="9"/>
    </font>
    <font>
      <name val="Consolas"/>
      <color rgb="000B5A2E"/>
      <sz val="11"/>
    </font>
    <font>
      <name val="Consolas"/>
      <b val="1"/>
      <color rgb="001F4E5F"/>
      <sz val="20"/>
    </font>
    <font>
      <name val="Consolas"/>
      <color rgb="00333333"/>
      <sz val="9"/>
    </font>
    <font>
      <name val="Calibri"/>
      <i val="1"/>
      <color rgb="008A6D00"/>
      <sz val="8.5"/>
    </font>
    <font>
      <name val="Calibri"/>
      <i val="1"/>
      <color rgb="00666666"/>
      <sz val="8.5"/>
    </font>
    <font>
      <name val="Consolas"/>
      <b val="1"/>
      <color rgb="00FFFFFF"/>
      <sz val="11"/>
    </font>
    <font>
      <name val="Calibri"/>
      <color rgb="00333333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6EA"/>
      </patternFill>
    </fill>
    <fill>
      <patternFill patternType="solid">
        <fgColor rgb="00FFF6E5"/>
      </patternFill>
    </fill>
    <fill>
      <patternFill patternType="solid">
        <fgColor rgb="00EAF3EC"/>
      </patternFill>
    </fill>
    <fill>
      <patternFill patternType="solid">
        <fgColor rgb="00FFFBEA"/>
      </patternFill>
    </fill>
    <fill>
      <patternFill patternType="solid">
        <fgColor rgb="00EFF3F5"/>
      </patternFill>
    </fill>
  </fills>
  <borders count="6">
    <border>
      <left/>
      <right/>
      <top/>
      <bottom/>
      <diagonal/>
    </border>
    <border>
      <left style="thin">
        <color rgb="00B7C4CA"/>
      </left>
      <right style="thin">
        <color rgb="00B7C4CA"/>
      </right>
      <top style="thin">
        <color rgb="00B7C4CA"/>
      </top>
      <bottom style="thin">
        <color rgb="00B7C4CA"/>
      </bottom>
    </border>
    <border>
      <left/>
      <right/>
      <top style="thin">
        <color rgb="00B7C4CA"/>
      </top>
      <bottom/>
      <diagonal/>
    </border>
    <border>
      <left/>
      <right style="thin">
        <color rgb="00B7C4CA"/>
      </right>
      <top style="thin">
        <color rgb="00B7C4CA"/>
      </top>
      <bottom/>
      <diagonal/>
    </border>
    <border>
      <left/>
      <right/>
      <top style="thin">
        <color rgb="00B7C4CA"/>
      </top>
      <bottom style="thin">
        <color rgb="00B7C4CA"/>
      </bottom>
      <diagonal/>
    </border>
    <border>
      <left/>
      <right style="thin">
        <color rgb="00B7C4CA"/>
      </right>
      <top style="thin">
        <color rgb="00B7C4CA"/>
      </top>
      <bottom style="thin">
        <color rgb="00B7C4C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 wrapText="1"/>
    </xf>
    <xf numFmtId="164" fontId="9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9" fontId="9" fillId="0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/>
    </xf>
    <xf numFmtId="167" fontId="9" fillId="0" borderId="1" applyAlignment="1" pivotButton="0" quotePrefix="0" xfId="0">
      <alignment horizontal="right" vertical="center"/>
    </xf>
    <xf numFmtId="0" fontId="12" fillId="6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6" fontId="9" fillId="0" borderId="1" applyAlignment="1" pivotButton="0" quotePrefix="0" xfId="0">
      <alignment horizontal="center" vertical="center" wrapText="1"/>
    </xf>
    <xf numFmtId="166" fontId="1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2" customWidth="1" min="4" max="4"/>
    <col width="74" customWidth="1" min="5" max="5"/>
  </cols>
  <sheetData>
    <row r="1" ht="26" customHeight="1">
      <c r="A1" s="1" t="inlineStr">
        <is>
          <t>NSLLC Toolkit  —  Darcy Permeability (RAT)</t>
        </is>
      </c>
    </row>
    <row r="2" ht="42" customHeight="1">
      <c r="A2" s="2" t="inlineStr">
        <is>
          <t>Effective (skin-included) permeability from a stabilized single-rate injectivity test (RAT survey) on a Class II UIC well. Computes bottomhole flowing pressure from surface injection pressure accounting for hydrostatic head and tubing friction, then applies Darcy's steady-state radial flow equation. Yellow cells are inputs; green cells are computed (live formulas).</t>
        </is>
      </c>
    </row>
    <row r="3" ht="20" customHeight="1">
      <c r="A3" s="3" t="inlineStr">
        <is>
          <t>Well identification (appears on printed report; not used in calculations)</t>
        </is>
      </c>
    </row>
    <row r="4" ht="16" customHeight="1">
      <c r="A4" s="4" t="inlineStr">
        <is>
          <t>Operator</t>
        </is>
      </c>
      <c r="C4" s="5" t="inlineStr"/>
      <c r="D4" s="6" t="n"/>
      <c r="E4" s="7" t="n"/>
    </row>
    <row r="5" ht="16" customHeight="1">
      <c r="A5" s="4" t="inlineStr">
        <is>
          <t>Field</t>
        </is>
      </c>
      <c r="C5" s="5" t="inlineStr"/>
      <c r="D5" s="6" t="n"/>
      <c r="E5" s="7" t="n"/>
    </row>
    <row r="6" ht="16" customHeight="1">
      <c r="A6" s="4" t="inlineStr">
        <is>
          <t>Well name</t>
        </is>
      </c>
      <c r="C6" s="5" t="inlineStr"/>
      <c r="D6" s="6" t="n"/>
      <c r="E6" s="7" t="n"/>
    </row>
    <row r="7" ht="16" customHeight="1">
      <c r="A7" s="4" t="inlineStr">
        <is>
          <t>API (14-digit)</t>
        </is>
      </c>
      <c r="C7" s="5" t="inlineStr"/>
      <c r="D7" s="6" t="n"/>
      <c r="E7" s="7" t="n"/>
    </row>
    <row r="8" ht="16" customHeight="1">
      <c r="A8" s="4" t="inlineStr">
        <is>
          <t>UIC code</t>
        </is>
      </c>
      <c r="C8" s="5" t="inlineStr"/>
      <c r="D8" s="6" t="n"/>
      <c r="E8" s="7" t="n"/>
    </row>
    <row r="9" ht="16" customHeight="1">
      <c r="A9" s="4" t="inlineStr">
        <is>
          <t>Survey date</t>
        </is>
      </c>
      <c r="C9" s="5" t="inlineStr"/>
      <c r="D9" s="6" t="n"/>
      <c r="E9" s="7" t="n"/>
    </row>
    <row r="10" ht="20" customHeight="1">
      <c r="A10" s="3" t="inlineStr">
        <is>
          <t>1.  Survey data</t>
        </is>
      </c>
    </row>
    <row r="11" ht="28" customHeight="1">
      <c r="A11" s="8" t="inlineStr">
        <is>
          <t>Surface injection pressure</t>
        </is>
      </c>
      <c r="B11" s="9" t="inlineStr">
        <is>
          <t>P_surf</t>
        </is>
      </c>
      <c r="C11" s="10" t="n">
        <v>500</v>
      </c>
      <c r="D11" s="11" t="inlineStr">
        <is>
          <t>psi</t>
        </is>
      </c>
      <c r="E11" s="12" t="inlineStr">
        <is>
          <t>Wellhead injection pressure measured during the stabilized portion of the RAT survey. Use the value paired with the observed rate, not a long-term average.</t>
        </is>
      </c>
    </row>
    <row r="12" ht="40" customHeight="1">
      <c r="A12" s="8" t="inlineStr">
        <is>
          <t>Observed injection rate</t>
        </is>
      </c>
      <c r="B12" s="9" t="inlineStr">
        <is>
          <t>q</t>
        </is>
      </c>
      <c r="C12" s="10" t="n">
        <v>1000</v>
      </c>
      <c r="D12" s="11" t="inlineStr">
        <is>
          <t>bbl/d</t>
        </is>
      </c>
      <c r="E12" s="12" t="inlineStr">
        <is>
          <t>Instantaneous measured rate at the wellhead flowmeter during the stabilized portion of the survey — NOT the monthly average from injection records. The well should have injected at this rate for 1–2 hours before the reading so pressure has stabilized.</t>
        </is>
      </c>
    </row>
    <row r="13" ht="40" customHeight="1">
      <c r="A13" s="8" t="inlineStr">
        <is>
          <t>Bottomhole temperature</t>
        </is>
      </c>
      <c r="B13" s="9" t="inlineStr">
        <is>
          <t>T_BH</t>
        </is>
      </c>
      <c r="C13" s="10" t="n">
        <v>120</v>
      </c>
      <c r="D13" s="11" t="inlineStr">
        <is>
          <t>°F</t>
        </is>
      </c>
      <c r="E13" s="12" t="inlineStr">
        <is>
          <t>Reservoir temperature at the depth of interest. From BHT surveys, the RAT temperature log, or geothermal gradient. Used to auto-compute water viscosity (McCain). Default 120°F is typical for shallow California disposal zones.</t>
        </is>
      </c>
    </row>
    <row r="14" ht="20" customHeight="1">
      <c r="A14" s="3" t="inlineStr">
        <is>
          <t>2.  Well configuration</t>
        </is>
      </c>
    </row>
    <row r="15" ht="40" customHeight="1">
      <c r="A15" s="8" t="inlineStr">
        <is>
          <t>Tubing depth to top perfs</t>
        </is>
      </c>
      <c r="B15" s="9" t="inlineStr">
        <is>
          <t>L</t>
        </is>
      </c>
      <c r="C15" s="10" t="n">
        <v>3000</v>
      </c>
      <c r="D15" s="11" t="inlineStr">
        <is>
          <t>ft</t>
        </is>
      </c>
      <c r="E15" s="12" t="inlineStr">
        <is>
          <t>Measured depth from surface to the top of the perforated interval (tubing string length). Used for both hydrostatic and friction. For highly deviated wells, hydrostatic should ideally use TVD.</t>
        </is>
      </c>
    </row>
    <row r="16" ht="40" customHeight="1">
      <c r="A16" s="8" t="inlineStr">
        <is>
          <t>Tubing inside diameter</t>
        </is>
      </c>
      <c r="B16" s="9" t="inlineStr">
        <is>
          <t>d_i</t>
        </is>
      </c>
      <c r="C16" s="10" t="n">
        <v>2.441</v>
      </c>
      <c r="D16" s="11" t="inlineStr">
        <is>
          <t>in</t>
        </is>
      </c>
      <c r="E16" s="12" t="inlineStr">
        <is>
          <t>Inside diameter of injection tubing. Standard API IDs: 2-3/8" 4.7# = 1.995; 2-7/8" 6.5# = 2.441; 3-1/2" 9.3# = 2.992; 4-1/2" 12.6# = 3.958 (see Reference Data sheet). Override for worn tubing.</t>
        </is>
      </c>
    </row>
    <row r="17" ht="40" customHeight="1">
      <c r="A17" s="8" t="inlineStr">
        <is>
          <t>Tubing roughness</t>
        </is>
      </c>
      <c r="B17" s="9" t="inlineStr">
        <is>
          <t>ε</t>
        </is>
      </c>
      <c r="C17" s="10" t="n">
        <v>0.0018</v>
      </c>
      <c r="D17" s="11" t="inlineStr">
        <is>
          <t>in</t>
        </is>
      </c>
      <c r="E17" s="12" t="inlineStr">
        <is>
          <t>Pipe surface roughness. Default 0.0018 in for new commercial steel. Increase to 0.005–0.01 in for scaled, corroded, or service-aged tubing. Friction is moderately sensitive to roughness.</t>
        </is>
      </c>
    </row>
    <row r="18" ht="28" customHeight="1">
      <c r="A18" s="8" t="inlineStr">
        <is>
          <t>Wellbore radius</t>
        </is>
      </c>
      <c r="B18" s="9" t="inlineStr">
        <is>
          <t>r_w</t>
        </is>
      </c>
      <c r="C18" s="10" t="n">
        <v>0.354</v>
      </c>
      <c r="D18" s="11" t="inlineStr">
        <is>
          <t>ft</t>
        </is>
      </c>
      <c r="E18" s="12" t="inlineStr">
        <is>
          <t>Radius of the wellbore at the perforations = (hole diameter in inches) / 24. 8.5-in hole = 0.354 ft; 6.125-in hole = 0.255 ft. Default assumes an 8.5-in hole.</t>
        </is>
      </c>
    </row>
    <row r="19" ht="20" customHeight="1">
      <c r="A19" s="3" t="inlineStr">
        <is>
          <t>3.  Fluid properties</t>
        </is>
      </c>
    </row>
    <row r="20" ht="28" customHeight="1">
      <c r="A20" s="8" t="inlineStr">
        <is>
          <t>Injection fluid gradient</t>
        </is>
      </c>
      <c r="B20" s="9" t="inlineStr">
        <is>
          <t>grad</t>
        </is>
      </c>
      <c r="C20" s="10" t="n">
        <v>0.44</v>
      </c>
      <c r="D20" s="11" t="inlineStr">
        <is>
          <t>psi/ft</t>
        </is>
      </c>
      <c r="E20" s="12" t="inlineStr">
        <is>
          <t>Hydrostatic gradient of injection fluid. Presets: fresh 0.433; light produced 0.44; typical produced 0.45; heavy brine 0.465 (see Reference Data sheet).</t>
        </is>
      </c>
    </row>
    <row r="21" ht="28" customHeight="1">
      <c r="A21" s="8" t="inlineStr">
        <is>
          <t>Fluid density (display)</t>
        </is>
      </c>
      <c r="B21" s="9" t="inlineStr">
        <is>
          <t>ρ</t>
        </is>
      </c>
      <c r="C21" s="10" t="n">
        <v>63.4</v>
      </c>
      <c r="D21" s="11" t="inlineStr">
        <is>
          <t>lb/ft³</t>
        </is>
      </c>
      <c r="E21" s="12" t="inlineStr">
        <is>
          <t>Density of injection fluid. Converted internally to lb/gal (÷ 7.481) for the Reynolds and Fanning constants. Presets: fresh 62.4; light 63.4; typical 64.9; heavy 67.0.</t>
        </is>
      </c>
    </row>
    <row r="22" ht="28" customHeight="1">
      <c r="A22" s="8" t="inlineStr">
        <is>
          <t>Water viscosity (McCain, from T_BH)</t>
        </is>
      </c>
      <c r="B22" s="9" t="inlineStr">
        <is>
          <t>μ_calc</t>
        </is>
      </c>
      <c r="C22" s="13">
        <f>109.574*POWER(T_BH,-1.12166)</f>
        <v/>
      </c>
      <c r="D22" s="11" t="inlineStr">
        <is>
          <t>cP</t>
        </is>
      </c>
      <c r="E22" s="12" t="inlineStr">
        <is>
          <t>Auto-calculated from T_BH via the McCain (1990) fresh-water correlation: μ = 109.574 × T^(-1.12166), T in °F. This is the value used unless an override is entered below.</t>
        </is>
      </c>
    </row>
    <row r="23" ht="28" customHeight="1">
      <c r="A23" s="8" t="inlineStr">
        <is>
          <t>Viscosity override (optional)</t>
        </is>
      </c>
      <c r="B23" s="9" t="inlineStr">
        <is>
          <t>μ_ovr</t>
        </is>
      </c>
      <c r="C23" s="14" t="inlineStr"/>
      <c r="D23" s="11" t="inlineStr">
        <is>
          <t>cP</t>
        </is>
      </c>
      <c r="E23" s="12" t="inlineStr">
        <is>
          <t>Leave blank to use the McCain value above. Enter a value to override for non-water fluid or a salinity-corrected viscosity.</t>
        </is>
      </c>
    </row>
    <row r="24" ht="28" customHeight="1">
      <c r="A24" s="8" t="inlineStr">
        <is>
          <t>Viscosity used</t>
        </is>
      </c>
      <c r="B24" s="9" t="inlineStr">
        <is>
          <t>μ</t>
        </is>
      </c>
      <c r="C24" s="13">
        <f>IF(mu_ovr="",mu_calc,mu_ovr)</f>
        <v/>
      </c>
      <c r="D24" s="11" t="inlineStr">
        <is>
          <t>cP</t>
        </is>
      </c>
      <c r="E24" s="12" t="inlineStr">
        <is>
          <t>Viscosity carried into the Reynolds, friction, and Darcy calculations: the override if entered, otherwise the McCain value.</t>
        </is>
      </c>
    </row>
    <row r="25" ht="28" customHeight="1">
      <c r="A25" s="8" t="inlineStr">
        <is>
          <t>Formation volume factor</t>
        </is>
      </c>
      <c r="B25" s="9" t="inlineStr">
        <is>
          <t>B_w</t>
        </is>
      </c>
      <c r="C25" s="14" t="n">
        <v>1</v>
      </c>
      <c r="D25" s="11" t="inlineStr">
        <is>
          <t>RB/STB</t>
        </is>
      </c>
      <c r="E25" s="12" t="inlineStr">
        <is>
          <t>Water formation volume factor. Default 1.0 is appropriate for typical brines and rarely deviates more than 1–2% for water.</t>
        </is>
      </c>
    </row>
    <row r="26" ht="20" customHeight="1">
      <c r="A26" s="3" t="inlineStr">
        <is>
          <t>4.  Reservoir properties</t>
        </is>
      </c>
    </row>
    <row r="27" ht="40" customHeight="1">
      <c r="A27" s="8" t="inlineStr">
        <is>
          <t>Static reservoir-pressure mode</t>
        </is>
      </c>
      <c r="B27" s="9" t="inlineStr">
        <is>
          <t>mode</t>
        </is>
      </c>
      <c r="C27" s="10" t="inlineStr">
        <is>
          <t>B</t>
        </is>
      </c>
      <c r="D27" s="11" t="inlineStr">
        <is>
          <t>A / B / C</t>
        </is>
      </c>
      <c r="E27" s="12" t="inlineStr">
        <is>
          <t>Selects how static reservoir pressure P_e is determined.  A = direct entry (fall-off extrapolation or known P_e).  B = from static fluid level (default).  C = regional gradient (lowest confidence).</t>
        </is>
      </c>
    </row>
    <row r="28" ht="28" customHeight="1">
      <c r="A28" s="8" t="inlineStr">
        <is>
          <t>Mode A — static reservoir pressure</t>
        </is>
      </c>
      <c r="B28" s="9" t="inlineStr">
        <is>
          <t>P_e(A)</t>
        </is>
      </c>
      <c r="C28" s="10" t="n">
        <v>880</v>
      </c>
      <c r="D28" s="11" t="inlineStr">
        <is>
          <t>psi</t>
        </is>
      </c>
      <c r="E28" s="12" t="inlineStr">
        <is>
          <t>Used only when mode = A. Reservoir pressure at the drainage radius from a fall-off extrapolation, a direct static gradient survey, or prior work.</t>
        </is>
      </c>
    </row>
    <row r="29" ht="40" customHeight="1">
      <c r="A29" s="8" t="inlineStr">
        <is>
          <t>Mode B — static fluid level from surface</t>
        </is>
      </c>
      <c r="B29" s="9" t="inlineStr">
        <is>
          <t>z_fl</t>
        </is>
      </c>
      <c r="C29" s="10" t="n">
        <v>1000</v>
      </c>
      <c r="D29" s="11" t="inlineStr">
        <is>
          <t>ft</t>
        </is>
      </c>
      <c r="E29" s="12" t="inlineStr">
        <is>
          <t>Used only when mode = B. Depth from surface to the top of the static fluid column under shut-in, from an acoustic fluid-level survey (e.g., Echometer) or wireline static survey. If full to surface, enter 0.</t>
        </is>
      </c>
    </row>
    <row r="30" ht="28" customHeight="1">
      <c r="A30" s="8" t="inlineStr">
        <is>
          <t>Mode B — static column gradient</t>
        </is>
      </c>
      <c r="B30" s="9" t="inlineStr">
        <is>
          <t>grad_s</t>
        </is>
      </c>
      <c r="C30" s="14" t="n">
        <v>0.44</v>
      </c>
      <c r="D30" s="11" t="inlineStr">
        <is>
          <t>psi/ft</t>
        </is>
      </c>
      <c r="E30" s="12" t="inlineStr">
        <is>
          <t>Used only when mode = B. Gradient of the static fluid column in the wellbore, typically 0.43–0.46 psi/ft for water/brine.</t>
        </is>
      </c>
    </row>
    <row r="31" ht="28" customHeight="1">
      <c r="A31" s="8" t="inlineStr">
        <is>
          <t>Mode C — regional pressure gradient</t>
        </is>
      </c>
      <c r="B31" s="9" t="inlineStr">
        <is>
          <t>grad_r</t>
        </is>
      </c>
      <c r="C31" s="14" t="n">
        <v>0.433</v>
      </c>
      <c r="D31" s="11" t="inlineStr">
        <is>
          <t>psi/ft</t>
        </is>
      </c>
      <c r="E31" s="12" t="inlineStr">
        <is>
          <t>Used only when mode = C. Lowest-confidence option. Typical: 0.40 (lightly depleted), 0.433 (virgin hydrostatic), 0.465 (slightly overpressured).</t>
        </is>
      </c>
    </row>
    <row r="32" ht="28" customHeight="1">
      <c r="A32" s="8" t="inlineStr">
        <is>
          <t>Drainage radius</t>
        </is>
      </c>
      <c r="B32" s="9" t="inlineStr">
        <is>
          <t>r_e</t>
        </is>
      </c>
      <c r="C32" s="10" t="n">
        <v>660</v>
      </c>
      <c r="D32" s="11" t="inlineStr">
        <is>
          <t>ft</t>
        </is>
      </c>
      <c r="E32" s="12" t="inlineStr">
        <is>
          <t>Radius at which P_e is assumed to apply. Conventional: 660 ft (40-acre), 933 ft (160-acre), 1320 ft (320-acre). Result is insensitive to r_e because it enters as ln(r_e/r_w).</t>
        </is>
      </c>
    </row>
    <row r="33" ht="28" customHeight="1">
      <c r="A33" s="8" t="inlineStr">
        <is>
          <t>Effective net thickness</t>
        </is>
      </c>
      <c r="B33" s="9" t="inlineStr">
        <is>
          <t>h_eff</t>
        </is>
      </c>
      <c r="C33" s="10" t="n">
        <v>30</v>
      </c>
      <c r="D33" s="11" t="inlineStr">
        <is>
          <t>ft</t>
        </is>
      </c>
      <c r="E33" s="12" t="inlineStr">
        <is>
          <t>Net thickness actually taking fluid — NOT the total perforated interval. From a spinner survey, sum the intervals showing measurable flow; otherwise use net pay from log analysis.</t>
        </is>
      </c>
    </row>
    <row r="34" ht="28" customHeight="1">
      <c r="A34" s="8" t="inlineStr">
        <is>
          <t>Perforated interval</t>
        </is>
      </c>
      <c r="B34" s="9" t="inlineStr">
        <is>
          <t>h_perf</t>
        </is>
      </c>
      <c r="C34" s="10" t="n">
        <v>30</v>
      </c>
      <c r="D34" s="11" t="inlineStr">
        <is>
          <t>ft</t>
        </is>
      </c>
      <c r="E34" s="12" t="inlineStr">
        <is>
          <t>Total perforated interval, for reference only. Not used in k; used to compute fluid-entry efficiency (h_eff / h_perf).</t>
        </is>
      </c>
    </row>
    <row r="35" ht="40" customHeight="1">
      <c r="A35" s="8" t="inlineStr">
        <is>
          <t>Assumed skin factor</t>
        </is>
      </c>
      <c r="B35" s="9" t="inlineStr">
        <is>
          <t>s</t>
        </is>
      </c>
      <c r="C35" s="10" t="n">
        <v>0</v>
      </c>
      <c r="D35" s="11" t="inlineStr">
        <is>
          <t>—</t>
        </is>
      </c>
      <c r="E35" s="12" t="inlineStr">
        <is>
          <t>Dimensionless. Default 0 ⇒ result is the effective (skin-included) permeability from the survey. A positive value assumes damage and infers the higher intrinsic k. Single-rate data cannot determine skin — report any non-zero s alongside k.</t>
        </is>
      </c>
    </row>
    <row r="36" ht="20" customHeight="1">
      <c r="A36" s="3" t="inlineStr">
        <is>
          <t>5.  Intermediate values (QC)</t>
        </is>
      </c>
    </row>
    <row r="37" ht="28" customHeight="1">
      <c r="A37" s="8" t="inlineStr">
        <is>
          <t>Density (internal calc)</t>
        </is>
      </c>
      <c r="B37" s="9" t="inlineStr">
        <is>
          <t>ρ_gal</t>
        </is>
      </c>
      <c r="C37" s="13">
        <f>rho/7.481</f>
        <v/>
      </c>
      <c r="D37" s="11" t="inlineStr">
        <is>
          <t>lb/gal</t>
        </is>
      </c>
      <c r="E37" s="12" t="inlineStr">
        <is>
          <t>Display density converted for the Reynolds and Fanning constants: ρ(lb/gal) = ρ(lb/ft³) / 7.481.</t>
        </is>
      </c>
    </row>
    <row r="38" ht="40" customHeight="1">
      <c r="A38" s="8" t="inlineStr">
        <is>
          <t>Reynolds number</t>
        </is>
      </c>
      <c r="B38" s="9" t="inlineStr">
        <is>
          <t>Re</t>
        </is>
      </c>
      <c r="C38" s="15">
        <f>11.05*rho_gal*q/(mu*d_i)</f>
        <v/>
      </c>
      <c r="D38" s="11" t="inlineStr">
        <is>
          <t>—</t>
        </is>
      </c>
      <c r="E38" s="12" t="inlineStr">
        <is>
          <t>Re = 11.05 × ρ(lb/gal) × q / (μ × d_i), q in bbl/d, d_i in inches. Equivalent to the textbook forms 1.48 × ρ(lb/ft³) × q/(d·μ) and 92.1 × SG × q/(d·μ). Flow regime: &gt;4000 turbulent, 2300–4000 transitional, &lt;2300 laminar.</t>
        </is>
      </c>
    </row>
    <row r="39" ht="16" customHeight="1">
      <c r="A39" s="8" t="inlineStr">
        <is>
          <t>Flow regime</t>
        </is>
      </c>
      <c r="B39" s="9" t="inlineStr"/>
      <c r="C39" s="16">
        <f>IF(Re_n&gt;4000,"Turbulent",IF(Re_n&gt;2300,"Transitional","Laminar"))</f>
        <v/>
      </c>
      <c r="D39" s="11" t="inlineStr">
        <is>
          <t>—</t>
        </is>
      </c>
      <c r="E39" s="12" t="inlineStr">
        <is>
          <t>Regime classification implied by Re.</t>
        </is>
      </c>
    </row>
    <row r="40" ht="16" customHeight="1">
      <c r="A40" s="8" t="inlineStr">
        <is>
          <t>Fanning friction factor</t>
        </is>
      </c>
      <c r="B40" s="9" t="inlineStr">
        <is>
          <t>f</t>
        </is>
      </c>
      <c r="C40" s="17">
        <f>IF(Re_n&lt;=4000,16/Re_n,0.0625/(LOG10((eps/d_i)/3.7+5.74/POWER(Re_n,0.9))^2))</f>
        <v/>
      </c>
      <c r="D40" s="11" t="inlineStr">
        <is>
          <t>—</t>
        </is>
      </c>
      <c r="E40" s="12" t="inlineStr">
        <is>
          <t>Swamee-Jain explicit Fanning factor for Re &gt; 4000; laminar fallback f = 16/Re for Re ≤ 4000.</t>
        </is>
      </c>
    </row>
    <row r="41" ht="40" customHeight="1">
      <c r="A41" s="8" t="inlineStr">
        <is>
          <t>Friction pressure drop</t>
        </is>
      </c>
      <c r="B41" s="9" t="inlineStr">
        <is>
          <t>ΔP_fric</t>
        </is>
      </c>
      <c r="C41" s="18">
        <f>5.50E-06*f_fan*rho_gal*q^2*L/POWER(d_i,5)</f>
        <v/>
      </c>
      <c r="D41" s="11" t="inlineStr">
        <is>
          <t>psi</t>
        </is>
      </c>
      <c r="E41" s="12" t="inlineStr">
        <is>
          <t>Fanning field-unit form: ΔP_f = 5.50×10⁻⁶ × f × ρ(lb/gal) × q² × L / d_i⁵ (f = Fanning friction factor). Equivalent to the textbook v-based form ΔP_f = f × ρ(lb/gal) × v² × L / (25.8 × d_i).</t>
        </is>
      </c>
    </row>
    <row r="42" ht="16" customHeight="1">
      <c r="A42" s="8" t="inlineStr">
        <is>
          <t>Hydrostatic pressure</t>
        </is>
      </c>
      <c r="B42" s="9" t="inlineStr">
        <is>
          <t>P_hydro</t>
        </is>
      </c>
      <c r="C42" s="15">
        <f>L*grad</f>
        <v/>
      </c>
      <c r="D42" s="11" t="inlineStr">
        <is>
          <t>psi</t>
        </is>
      </c>
      <c r="E42" s="12" t="inlineStr">
        <is>
          <t>Pressure added by the fluid column: P_hydro = L × gradient.</t>
        </is>
      </c>
    </row>
    <row r="43" ht="16" customHeight="1">
      <c r="A43" s="8" t="inlineStr">
        <is>
          <t>Bottomhole flowing pressure</t>
        </is>
      </c>
      <c r="B43" s="9" t="inlineStr">
        <is>
          <t>P_wf</t>
        </is>
      </c>
      <c r="C43" s="15">
        <f>P_surf+P_hydro-dP_fric</f>
        <v/>
      </c>
      <c r="D43" s="11" t="inlineStr">
        <is>
          <t>psi</t>
        </is>
      </c>
      <c r="E43" s="12" t="inlineStr">
        <is>
          <t>P_wf = P_surf + P_hydro − ΔP_fric.</t>
        </is>
      </c>
    </row>
    <row r="44" ht="16" customHeight="1">
      <c r="A44" s="8" t="inlineStr">
        <is>
          <t>Static reservoir pressure (selected)</t>
        </is>
      </c>
      <c r="B44" s="9" t="inlineStr">
        <is>
          <t>P_e</t>
        </is>
      </c>
      <c r="C44" s="15">
        <f>IF(Pe_mode="A",Pe_A,IF(Pe_mode="B",(L-z_fl)*grad_s,L*grad_r))</f>
        <v/>
      </c>
      <c r="D44" s="11" t="inlineStr">
        <is>
          <t>psi</t>
        </is>
      </c>
      <c r="E44" s="12" t="inlineStr">
        <is>
          <t>P_e per the selected mode:  A = direct;  B = (L − z_fl) × grad_s;  C = L × grad_r.</t>
        </is>
      </c>
    </row>
    <row r="45" ht="28" customHeight="1">
      <c r="A45" s="8" t="inlineStr">
        <is>
          <t>Mode B validity check</t>
        </is>
      </c>
      <c r="B45" s="9" t="inlineStr"/>
      <c r="C45" s="16">
        <f>IF(AND(Pe_mode="B",z_fl&gt;L),"WARNING: fluid level below perfs — Mode B invalid; use A or C","OK")</f>
        <v/>
      </c>
      <c r="D45" s="11" t="inlineStr">
        <is>
          <t>—</t>
        </is>
      </c>
      <c r="E45" s="12" t="inlineStr">
        <is>
          <t>Flags the Mode B case where the static fluid level lies below the perforations (formation on vacuum / voidage), for which the fluid-level method is not valid.</t>
        </is>
      </c>
    </row>
    <row r="46" ht="16" customHeight="1">
      <c r="A46" s="8" t="inlineStr">
        <is>
          <t>Pressure drop across formation</t>
        </is>
      </c>
      <c r="B46" s="9" t="inlineStr">
        <is>
          <t>ΔP</t>
        </is>
      </c>
      <c r="C46" s="15">
        <f>P_wf-P_e</f>
        <v/>
      </c>
      <c r="D46" s="11" t="inlineStr">
        <is>
          <t>psi</t>
        </is>
      </c>
      <c r="E46" s="12" t="inlineStr">
        <is>
          <t>Driving differential for radial flow: ΔP = P_wf − P_e.</t>
        </is>
      </c>
    </row>
    <row r="47" ht="16" customHeight="1">
      <c r="A47" s="8" t="inlineStr">
        <is>
          <t>ln(r_e / r_w)</t>
        </is>
      </c>
      <c r="B47" s="9" t="inlineStr"/>
      <c r="C47" s="13">
        <f>LN(r_e/r_w)</f>
        <v/>
      </c>
      <c r="D47" s="11" t="inlineStr">
        <is>
          <t>—</t>
        </is>
      </c>
      <c r="E47" s="12" t="inlineStr">
        <is>
          <t>Radial geometry term in Darcy's steady-state equation.</t>
        </is>
      </c>
    </row>
    <row r="48" ht="16" customHeight="1">
      <c r="A48" s="8" t="inlineStr">
        <is>
          <t>Fluid entry efficiency</t>
        </is>
      </c>
      <c r="B48" s="9" t="inlineStr"/>
      <c r="C48" s="19">
        <f>h_eff/h_perf</f>
        <v/>
      </c>
      <c r="D48" s="11" t="inlineStr">
        <is>
          <t>fraction</t>
        </is>
      </c>
      <c r="E48" s="12" t="inlineStr">
        <is>
          <t>h_eff / h_perf — fraction of the perforated interval taking fluid.</t>
        </is>
      </c>
    </row>
    <row r="49" ht="20" customHeight="1">
      <c r="A49" s="3" t="inlineStr">
        <is>
          <t>6.  Results</t>
        </is>
      </c>
    </row>
    <row r="50" ht="34" customHeight="1">
      <c r="A50" s="4" t="inlineStr">
        <is>
          <t>Effective permeability, k_eff</t>
        </is>
      </c>
      <c r="C50" s="20">
        <f>141.2*q*mu*B_w*(lnRatio+s_skin)/(h_eff*dP_form)</f>
        <v/>
      </c>
      <c r="D50" s="21" t="inlineStr">
        <is>
          <t>mD</t>
        </is>
      </c>
      <c r="E50" s="12" t="inlineStr">
        <is>
          <t>141.2 × q × μ × B × (ln(r_e/r_w) + s) / (h × ΔP), steady-state radial. With s = 0 (default) this is the effective (skin-included) permeability.</t>
        </is>
      </c>
    </row>
    <row r="51" ht="16" customHeight="1">
      <c r="A51" s="22">
        <f>"k = 141.2 × "&amp;TEXT(q,"#,##0")&amp;" × "&amp;TEXT(mu,"0.000")&amp;" × "&amp;TEXT(B_w,"0.0")&amp;" × ("&amp;TEXT(lnRatio,"0.000")&amp;" + "&amp;TEXT(s_skin,"0")&amp;") / ("&amp;TEXT(h_eff,"0")&amp;" × "&amp;TEXT(dP_form,"#,##0")&amp;") = "&amp;TEXT(k_eff,"0.0")&amp;" mD"</f>
        <v/>
      </c>
    </row>
    <row r="52" ht="16" customHeight="1">
      <c r="A52" s="8" t="inlineStr">
        <is>
          <t>Permeability-thickness, kh</t>
        </is>
      </c>
      <c r="B52" s="9" t="inlineStr">
        <is>
          <t>kh</t>
        </is>
      </c>
      <c r="C52" s="15">
        <f>k_eff*h_eff</f>
        <v/>
      </c>
      <c r="D52" s="11" t="inlineStr">
        <is>
          <t>mD-ft</t>
        </is>
      </c>
      <c r="E52" s="12" t="inlineStr">
        <is>
          <t>kh = k_eff × h_eff.</t>
        </is>
      </c>
    </row>
    <row r="53" ht="16" customHeight="1">
      <c r="A53" s="8" t="inlineStr">
        <is>
          <t>Injectivity index, II</t>
        </is>
      </c>
      <c r="B53" s="9" t="inlineStr">
        <is>
          <t>II</t>
        </is>
      </c>
      <c r="C53" s="13">
        <f>q/dP_form</f>
        <v/>
      </c>
      <c r="D53" s="11" t="inlineStr">
        <is>
          <t>bbl/d/psi</t>
        </is>
      </c>
      <c r="E53" s="12" t="inlineStr">
        <is>
          <t>II = q / ΔP.</t>
        </is>
      </c>
    </row>
    <row r="54" ht="16" customHeight="1">
      <c r="A54" s="8" t="inlineStr">
        <is>
          <t>Specific injectivity, II/h</t>
        </is>
      </c>
      <c r="B54" s="9" t="inlineStr">
        <is>
          <t>II/h</t>
        </is>
      </c>
      <c r="C54" s="23">
        <f>II_idx/h_eff</f>
        <v/>
      </c>
      <c r="D54" s="11" t="inlineStr">
        <is>
          <t>bbl/d/psi/ft</t>
        </is>
      </c>
      <c r="E54" s="12" t="inlineStr">
        <is>
          <t>II / h_eff.</t>
        </is>
      </c>
    </row>
    <row r="55" ht="28" customHeight="1">
      <c r="A55" s="24" t="inlineStr">
        <is>
          <t>Self-check (default inputs): μ = 0.510 cP, Re ≈ 75,200 (turbulent), f = 0.00553, ΔP_fric = 8.9 psi, P_hydro = 1,320 psi, P_wf = 1,811 psi, P_e = 880 psi, ΔP = 931 psi, ln(r_e/r_w) = 7.531, k_eff = 19.4 mD, kh = 582 mD-ft, II = 1.074 bbl/d/psi.</t>
        </is>
      </c>
    </row>
    <row r="56" ht="26" customHeight="1">
      <c r="A56" s="25" t="inlineStr">
        <is>
          <t>Sources: Earlougher (1977), Advances in Well Test Analysis, SPE Monograph 5; Swamee &amp; Jain (1976), Explicit equations for pipe-flow problems; McCain (1990), The Properties of Petroleum Fluids, 2nd ed.; Crane Technical Paper No. 410. Field units throughout. See Methods &amp; References sheet.</t>
        </is>
      </c>
    </row>
    <row r="58" ht="20" customHeight="1">
      <c r="A58" s="3" t="inlineStr">
        <is>
          <t>7.  Sensitivity — k_eff (mD) vs. P_e (columns) and h_eff (rows)</t>
        </is>
      </c>
    </row>
    <row r="59" ht="26" customHeight="1">
      <c r="A59" s="12" t="inlineStr">
        <is>
          <t>Columns: P_e at ±20% in 10% steps. Rows: h_eff at 0.50× to 1.50× in 25% steps. All other inputs held at base values; skin held at the entered s. Base case (center) highlighted.</t>
        </is>
      </c>
    </row>
    <row r="60">
      <c r="A60" s="26" t="inlineStr">
        <is>
          <t>h_eff ↓  \  P_e →</t>
        </is>
      </c>
      <c r="B60" s="26" t="inlineStr">
        <is>
          <t>−20%</t>
        </is>
      </c>
      <c r="C60" s="26" t="inlineStr">
        <is>
          <t>−10%</t>
        </is>
      </c>
      <c r="D60" s="26" t="inlineStr">
        <is>
          <t>base</t>
        </is>
      </c>
      <c r="E60" s="26" t="inlineStr">
        <is>
          <t>+10%</t>
        </is>
      </c>
      <c r="F60" s="26" t="inlineStr">
        <is>
          <t>+20%</t>
        </is>
      </c>
    </row>
    <row r="61">
      <c r="A61" s="27" t="inlineStr">
        <is>
          <t>P_e (psi) →</t>
        </is>
      </c>
      <c r="B61" s="28">
        <f>P_e*0.8</f>
        <v/>
      </c>
      <c r="C61" s="28">
        <f>P_e*0.9</f>
        <v/>
      </c>
      <c r="D61" s="28">
        <f>P_e*1.0</f>
        <v/>
      </c>
      <c r="E61" s="28">
        <f>P_e*1.1</f>
        <v/>
      </c>
      <c r="F61" s="28">
        <f>P_e*1.2</f>
        <v/>
      </c>
    </row>
    <row r="62">
      <c r="A62" s="29">
        <f>"h −50%  ("&amp;TEXT(h_eff*0.5,"0.0")&amp;" ft)"</f>
        <v/>
      </c>
      <c r="B62" s="30">
        <f>141.2*q*mu*B_w*(lnRatio+s_skin)/((h_eff*0.5)*(P_wf-P_e*0.8))</f>
        <v/>
      </c>
      <c r="C62" s="30">
        <f>141.2*q*mu*B_w*(lnRatio+s_skin)/((h_eff*0.5)*(P_wf-P_e*0.9))</f>
        <v/>
      </c>
      <c r="D62" s="30">
        <f>141.2*q*mu*B_w*(lnRatio+s_skin)/((h_eff*0.5)*(P_wf-P_e*1.0))</f>
        <v/>
      </c>
      <c r="E62" s="30">
        <f>141.2*q*mu*B_w*(lnRatio+s_skin)/((h_eff*0.5)*(P_wf-P_e*1.1))</f>
        <v/>
      </c>
      <c r="F62" s="30">
        <f>141.2*q*mu*B_w*(lnRatio+s_skin)/((h_eff*0.5)*(P_wf-P_e*1.2))</f>
        <v/>
      </c>
    </row>
    <row r="63">
      <c r="A63" s="29">
        <f>"h −25%  ("&amp;TEXT(h_eff*0.75,"0.0")&amp;" ft)"</f>
        <v/>
      </c>
      <c r="B63" s="30">
        <f>141.2*q*mu*B_w*(lnRatio+s_skin)/((h_eff*0.75)*(P_wf-P_e*0.8))</f>
        <v/>
      </c>
      <c r="C63" s="30">
        <f>141.2*q*mu*B_w*(lnRatio+s_skin)/((h_eff*0.75)*(P_wf-P_e*0.9))</f>
        <v/>
      </c>
      <c r="D63" s="30">
        <f>141.2*q*mu*B_w*(lnRatio+s_skin)/((h_eff*0.75)*(P_wf-P_e*1.0))</f>
        <v/>
      </c>
      <c r="E63" s="30">
        <f>141.2*q*mu*B_w*(lnRatio+s_skin)/((h_eff*0.75)*(P_wf-P_e*1.1))</f>
        <v/>
      </c>
      <c r="F63" s="30">
        <f>141.2*q*mu*B_w*(lnRatio+s_skin)/((h_eff*0.75)*(P_wf-P_e*1.2))</f>
        <v/>
      </c>
    </row>
    <row r="64">
      <c r="A64" s="29">
        <f>"h base  ("&amp;TEXT(h_eff*1.0,"0.0")&amp;" ft)"</f>
        <v/>
      </c>
      <c r="B64" s="30">
        <f>141.2*q*mu*B_w*(lnRatio+s_skin)/((h_eff*1.0)*(P_wf-P_e*0.8))</f>
        <v/>
      </c>
      <c r="C64" s="30">
        <f>141.2*q*mu*B_w*(lnRatio+s_skin)/((h_eff*1.0)*(P_wf-P_e*0.9))</f>
        <v/>
      </c>
      <c r="D64" s="31">
        <f>141.2*q*mu*B_w*(lnRatio+s_skin)/((h_eff*1.0)*(P_wf-P_e*1.0))</f>
        <v/>
      </c>
      <c r="E64" s="30">
        <f>141.2*q*mu*B_w*(lnRatio+s_skin)/((h_eff*1.0)*(P_wf-P_e*1.1))</f>
        <v/>
      </c>
      <c r="F64" s="30">
        <f>141.2*q*mu*B_w*(lnRatio+s_skin)/((h_eff*1.0)*(P_wf-P_e*1.2))</f>
        <v/>
      </c>
    </row>
    <row r="65">
      <c r="A65" s="29">
        <f>"h +25%  ("&amp;TEXT(h_eff*1.25,"0.0")&amp;" ft)"</f>
        <v/>
      </c>
      <c r="B65" s="30">
        <f>141.2*q*mu*B_w*(lnRatio+s_skin)/((h_eff*1.25)*(P_wf-P_e*0.8))</f>
        <v/>
      </c>
      <c r="C65" s="30">
        <f>141.2*q*mu*B_w*(lnRatio+s_skin)/((h_eff*1.25)*(P_wf-P_e*0.9))</f>
        <v/>
      </c>
      <c r="D65" s="30">
        <f>141.2*q*mu*B_w*(lnRatio+s_skin)/((h_eff*1.25)*(P_wf-P_e*1.0))</f>
        <v/>
      </c>
      <c r="E65" s="30">
        <f>141.2*q*mu*B_w*(lnRatio+s_skin)/((h_eff*1.25)*(P_wf-P_e*1.1))</f>
        <v/>
      </c>
      <c r="F65" s="30">
        <f>141.2*q*mu*B_w*(lnRatio+s_skin)/((h_eff*1.25)*(P_wf-P_e*1.2))</f>
        <v/>
      </c>
    </row>
    <row r="66">
      <c r="A66" s="29">
        <f>"h +50%  ("&amp;TEXT(h_eff*1.5,"0.0")&amp;" ft)"</f>
        <v/>
      </c>
      <c r="B66" s="30">
        <f>141.2*q*mu*B_w*(lnRatio+s_skin)/((h_eff*1.5)*(P_wf-P_e*0.8))</f>
        <v/>
      </c>
      <c r="C66" s="30">
        <f>141.2*q*mu*B_w*(lnRatio+s_skin)/((h_eff*1.5)*(P_wf-P_e*0.9))</f>
        <v/>
      </c>
      <c r="D66" s="30">
        <f>141.2*q*mu*B_w*(lnRatio+s_skin)/((h_eff*1.5)*(P_wf-P_e*1.0))</f>
        <v/>
      </c>
      <c r="E66" s="30">
        <f>141.2*q*mu*B_w*(lnRatio+s_skin)/((h_eff*1.5)*(P_wf-P_e*1.1))</f>
        <v/>
      </c>
      <c r="F66" s="30">
        <f>141.2*q*mu*B_w*(lnRatio+s_skin)/((h_eff*1.5)*(P_wf-P_e*1.2))</f>
        <v/>
      </c>
    </row>
  </sheetData>
  <mergeCells count="20">
    <mergeCell ref="A59:E59"/>
    <mergeCell ref="C9:E9"/>
    <mergeCell ref="A49:E49"/>
    <mergeCell ref="A51:E51"/>
    <mergeCell ref="A1:E1"/>
    <mergeCell ref="A36:E36"/>
    <mergeCell ref="C8:E8"/>
    <mergeCell ref="C7:E7"/>
    <mergeCell ref="A56:E56"/>
    <mergeCell ref="A3:E3"/>
    <mergeCell ref="A55:E55"/>
    <mergeCell ref="A26:E26"/>
    <mergeCell ref="A2:E2"/>
    <mergeCell ref="A14:E14"/>
    <mergeCell ref="C6:E6"/>
    <mergeCell ref="C5:E5"/>
    <mergeCell ref="A10:E10"/>
    <mergeCell ref="A19:E19"/>
    <mergeCell ref="C4:E4"/>
    <mergeCell ref="A58:E58"/>
  </mergeCells>
  <dataValidations count="1">
    <dataValidation sqref="C27" showDropDown="0" showInputMessage="0" showErrorMessage="0" allowBlank="0" type="list">
      <formula1>"A,B,C"</formula1>
    </dataValidation>
  </dataValidations>
  <printOptions horizontalCentered="0"/>
  <pageMargins left="0.75" right="0.75" top="1" bottom="1" header="0.5" footer="0.5"/>
  <pageSetup orientation="portrait" fitToHeight="0" fitToWidth="1"/>
  <headerFooter>
    <oddHeader>&amp;LNSLLC Toolkit — Darcy Permeability (RAT)</oddHeader>
    <oddFooter>&amp;L&amp;D&amp;RPage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4" customHeight="1">
      <c r="A1" s="1" t="inlineStr">
        <is>
          <t>Methods, references, and caveats — Darcy Permeability (RAT)</t>
        </is>
      </c>
    </row>
    <row r="3" ht="34" customHeight="1">
      <c r="A3" s="32" t="inlineStr">
        <is>
          <t>Darcy radial flow (steady-state, field units)</t>
        </is>
      </c>
      <c r="B3" s="33" t="inlineStr">
        <is>
          <t>k (mD) = 141.2 × q (bbl/d) × μ (cP) × B (RB/STB) × (ln(r_e/r_w) + s) / (h (ft) × ΔP (psi)), with ΔP = P_wf − P_e and s = assumed skin (dimensionless; s = 0 reduces to the bare radial form).</t>
        </is>
      </c>
    </row>
    <row r="4" ht="20" customHeight="1">
      <c r="A4" s="32" t="inlineStr">
        <is>
          <t>Bottomhole flowing pressure</t>
        </is>
      </c>
      <c r="B4" s="33" t="inlineStr">
        <is>
          <t>P_wf = P_surf + P_hydro − ΔP_fric, with P_hydro = L × gradient.</t>
        </is>
      </c>
    </row>
    <row r="5" ht="48" customHeight="1">
      <c r="A5" s="32" t="inlineStr">
        <is>
          <t>Fanning friction equation (field units)</t>
        </is>
      </c>
      <c r="B5" s="33" t="inlineStr">
        <is>
          <t>ΔP_f (psi) = 5.50×10⁻⁶ × f × ρ × q² × L / d_i⁵, where f is the Fanning friction factor, ρ in lb/gal (the lb/ft³ input is divided by 7.481), q in bbl/d, L in ft, d_i in inches. Derived from the Fanning relation ΔP = 2·f·ρ·v²·L/D and equal to the v-based field form ΔP_f = f·ρ(lb/gal)·v²·L/(25.8·d_i). (The corresponding lb/ft³ constant is 7.36×10⁻⁷.)</t>
        </is>
      </c>
    </row>
    <row r="6" ht="48" customHeight="1">
      <c r="A6" s="32" t="inlineStr">
        <is>
          <t>Reynolds number</t>
        </is>
      </c>
      <c r="B6" s="33" t="inlineStr">
        <is>
          <t>Re = 11.05 × ρ × q / (μ × d_i), ρ in lb/gal, q in bbl/d, d_i in inches, μ in cP. Equivalent to 1.48 × ρ(lb/ft³) × q/(d·μ) and to 92.1 × SG × q/(d·μ), where SG is specific gravity. Use the constant that matches the density unit: pairing the specific-gravity constant 92.1 with lb/gal overstates Re by ~8.3×.</t>
        </is>
      </c>
    </row>
    <row r="7" ht="20" customHeight="1">
      <c r="A7" s="32" t="inlineStr">
        <is>
          <t>Swamee-Jain explicit (Fanning)</t>
        </is>
      </c>
      <c r="B7" s="33" t="inlineStr">
        <is>
          <t>f = 0.0625 / [log10((ε/d_i)/3.7 + 5.74/Re^0.9)]², valid for Re &gt; 4000. Laminar fallback (Re ≤ 4000): f = 16/Re.</t>
        </is>
      </c>
    </row>
    <row r="8" ht="34" customHeight="1">
      <c r="A8" s="32" t="inlineStr">
        <is>
          <t>Water viscosity (McCain 1990, fresh water at atmospheric pressure)</t>
        </is>
      </c>
      <c r="B8" s="33" t="inlineStr">
        <is>
          <t>μ (cP) = 109.574 × T (°F)^(-1.12166). Temperature-only fit; no salinity correction in this version. Override the viscosity cell for salinity-corrected or non-water values.</t>
        </is>
      </c>
    </row>
    <row r="9" ht="76" customHeight="1">
      <c r="A9" s="32" t="inlineStr">
        <is>
          <t>Density unit convention</t>
        </is>
      </c>
      <c r="B9" s="33" t="inlineStr">
        <is>
          <t>Density is entered in lb/ft³ (what petroleum engineers expect) and converted to lb/gal by dividing by 7.481 for the field-unit friction (5.50×10⁻⁶) and Reynolds (11.05) constants used here. The governing requirement is that the constant and the density unit agree: 5.50×10⁻⁶ and 11.05 are the lb/gal forms; 7.36×10⁻⁷ and 1.48 are the equivalent lb/ft³ forms; 92.1 is the specific-gravity Reynolds form. A mismatch (e.g., the SG constant 92.1 applied to lb/gal) scales the result by the density-conversion factor and is the most common error in this calculation.</t>
        </is>
      </c>
    </row>
    <row r="10" ht="62" customHeight="1">
      <c r="A10" s="32" t="inlineStr">
        <is>
          <t>Effective vs. intrinsic k</t>
        </is>
      </c>
      <c r="B10" s="33" t="inlineStr">
        <is>
          <t>With s = 0 the result is effective (skin-included) permeability. Positive skin (damage) causes the s = 0 result to underestimate intrinsic k; negative skin (stimulation) causes overestimation. To resolve true skin, run a pressure transient analysis. Entering a non-zero s applies the correction explicitly under that assumption — report the assumed s alongside k in any submittal.</t>
        </is>
      </c>
    </row>
    <row r="11" ht="34" customHeight="1">
      <c r="A11" s="32" t="inlineStr">
        <is>
          <t>Steady-state assumption</t>
        </is>
      </c>
      <c r="B11" s="33" t="inlineStr">
        <is>
          <t>Requires stabilized rate and pressure at the time of the survey. If taken during transient conditions (recent rate change, startup, or shut-in), k_eff will be biased. Allow 1–2 hours of stable injection before recording.</t>
        </is>
      </c>
    </row>
    <row r="12" ht="48" customHeight="1">
      <c r="A12" s="32" t="inlineStr">
        <is>
          <t>Observed rate vs. monthly average</t>
        </is>
      </c>
      <c r="B12" s="33" t="inlineStr">
        <is>
          <t>Use the wellhead-flowmeter rate during the stabilized portion of the survey — NOT the monthly injection average from regulatory reports. Monthly averages smear over downtime and rate changes and, paired with an instantaneous pressure, give a meaningless result.</t>
        </is>
      </c>
    </row>
    <row r="13" ht="34" customHeight="1">
      <c r="A13" s="32" t="inlineStr">
        <is>
          <t>Deviated wells</t>
        </is>
      </c>
      <c r="B13" s="33" t="inlineStr">
        <is>
          <t>Friction uses measured depth (correct); hydrostatic also uses measured depth (approximation). For wells &gt; 30° from vertical, hydrostatic should be computed from TVD.</t>
        </is>
      </c>
    </row>
    <row r="14" ht="34" customHeight="1">
      <c r="A14" s="32" t="inlineStr">
        <is>
          <t>Single-phase liquid</t>
        </is>
      </c>
      <c r="B14" s="33" t="inlineStr">
        <is>
          <t>The friction model assumes single-phase water flow. Multiphase, gassy, or compressible flow requires different methodology.</t>
        </is>
      </c>
    </row>
    <row r="15" ht="48" customHeight="1">
      <c r="A15" s="32" t="inlineStr">
        <is>
          <t>Static fluid level (Mode B)</t>
        </is>
      </c>
      <c r="B15" s="33" t="inlineStr">
        <is>
          <t>Assumes the static column has equilibrated. For recently shut-in wells the fluid level may still be rising — wait for stabilization before measuring. If the fluid level lies below the perforations, Mode B is invalid (the QC check flags this).</t>
        </is>
      </c>
    </row>
    <row r="16" ht="48" customHeight="1">
      <c r="A16" s="32" t="inlineStr">
        <is>
          <t>Primary references</t>
        </is>
      </c>
      <c r="B16" s="33" t="inlineStr">
        <is>
          <t>Earlougher (1977), Advances in Well Test Analysis, SPE Monograph 5; Crane Technical Paper No. 410; Swamee &amp; Jain (1976), “Explicit equations for pipe-flow problems,” J. Hydraulics Div. ASCE; McCain (1990), The Properties of Petroleum Fluids, 2nd ed.; Bourgoyne et al., Applied Drilling Engineering, SPE Textbook Series (density-unit convention).</t>
        </is>
      </c>
    </row>
  </sheetData>
  <mergeCells count="1">
    <mergeCell ref="A1:B1"/>
  </mergeCells>
  <printOptions horizontalCentered="0"/>
  <pageMargins left="0.75" right="0.75" top="1" bottom="1" header="0.5" footer="0.5"/>
  <pageSetup orientation="portrait" fitToHeight="0" fitToWidth="1"/>
  <headerFooter>
    <oddHeader>&amp;LNSLLC Toolkit — Darcy Permeability (RAT)</oddHeader>
    <oddFooter>&amp;L&amp;D&amp;RPage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8" customWidth="1" min="4" max="4"/>
    <col width="16" customWidth="1" min="5" max="5"/>
  </cols>
  <sheetData>
    <row r="1" ht="24" customHeight="1">
      <c r="A1" s="1" t="inlineStr">
        <is>
          <t>Reference data and default values</t>
        </is>
      </c>
    </row>
    <row r="3">
      <c r="A3" s="34" t="inlineStr">
        <is>
          <t>API tubing — OD / weight → inside diameter</t>
        </is>
      </c>
    </row>
    <row r="4">
      <c r="A4" s="35" t="inlineStr">
        <is>
          <t>OD / weight</t>
        </is>
      </c>
      <c r="B4" s="35" t="inlineStr">
        <is>
          <t>ID (in)</t>
        </is>
      </c>
    </row>
    <row r="5">
      <c r="A5" s="36" t="inlineStr">
        <is>
          <t>2-3/8"  4.7 lb/ft</t>
        </is>
      </c>
      <c r="B5" s="37" t="n">
        <v>1.995</v>
      </c>
    </row>
    <row r="6">
      <c r="A6" s="36" t="inlineStr">
        <is>
          <t>2-7/8"  6.5 lb/ft</t>
        </is>
      </c>
      <c r="B6" s="37" t="n">
        <v>2.441</v>
      </c>
    </row>
    <row r="7">
      <c r="A7" s="36" t="inlineStr">
        <is>
          <t>3-1/2"  9.3 lb/ft</t>
        </is>
      </c>
      <c r="B7" s="37" t="n">
        <v>2.992</v>
      </c>
    </row>
    <row r="8">
      <c r="A8" s="36" t="inlineStr">
        <is>
          <t>4-1/2"  12.6 lb/ft</t>
        </is>
      </c>
      <c r="B8" s="37" t="n">
        <v>3.958</v>
      </c>
    </row>
    <row r="10">
      <c r="A10" s="34" t="inlineStr">
        <is>
          <t>Injection fluid presets</t>
        </is>
      </c>
    </row>
    <row r="11">
      <c r="A11" s="35" t="inlineStr">
        <is>
          <t>Fluid type</t>
        </is>
      </c>
      <c r="B11" s="35" t="inlineStr">
        <is>
          <t>Gradient (psi/ft)</t>
        </is>
      </c>
      <c r="C11" s="35" t="inlineStr">
        <is>
          <t>Density (lb/ft³)</t>
        </is>
      </c>
      <c r="D11" s="35" t="inlineStr">
        <is>
          <t>Density (lb/gal)</t>
        </is>
      </c>
    </row>
    <row r="12">
      <c r="A12" s="36" t="inlineStr">
        <is>
          <t>Fresh water</t>
        </is>
      </c>
      <c r="B12" s="37" t="n">
        <v>0.433</v>
      </c>
      <c r="C12" s="37" t="n">
        <v>62.4</v>
      </c>
      <c r="D12" s="37" t="n">
        <v>8.33</v>
      </c>
    </row>
    <row r="13">
      <c r="A13" s="36" t="inlineStr">
        <is>
          <t>Light produced water</t>
        </is>
      </c>
      <c r="B13" s="37" t="n">
        <v>0.44</v>
      </c>
      <c r="C13" s="37" t="n">
        <v>63.4</v>
      </c>
      <c r="D13" s="37" t="n">
        <v>8.470000000000001</v>
      </c>
    </row>
    <row r="14">
      <c r="A14" s="36" t="inlineStr">
        <is>
          <t>Typical produced water</t>
        </is>
      </c>
      <c r="B14" s="37" t="n">
        <v>0.45</v>
      </c>
      <c r="C14" s="37" t="n">
        <v>64.90000000000001</v>
      </c>
      <c r="D14" s="37" t="n">
        <v>8.67</v>
      </c>
    </row>
    <row r="15">
      <c r="A15" s="36" t="inlineStr">
        <is>
          <t>Heavy brine</t>
        </is>
      </c>
      <c r="B15" s="37" t="n">
        <v>0.465</v>
      </c>
      <c r="C15" s="37" t="n">
        <v>67</v>
      </c>
      <c r="D15" s="37" t="n">
        <v>8.960000000000001</v>
      </c>
    </row>
    <row r="17">
      <c r="A17" s="34" t="inlineStr">
        <is>
          <t>Default reference values</t>
        </is>
      </c>
    </row>
    <row r="18">
      <c r="A18" s="35" t="inlineStr">
        <is>
          <t>Parameter</t>
        </is>
      </c>
      <c r="B18" s="35" t="inlineStr">
        <is>
          <t>Default</t>
        </is>
      </c>
    </row>
    <row r="19">
      <c r="A19" s="36" t="inlineStr">
        <is>
          <t>Wellbore radius r_w (8.5-in hole)</t>
        </is>
      </c>
      <c r="B19" s="37" t="inlineStr">
        <is>
          <t>0.354 ft</t>
        </is>
      </c>
    </row>
    <row r="20">
      <c r="A20" s="36" t="inlineStr">
        <is>
          <t>Drainage radius r_e (40-acre)</t>
        </is>
      </c>
      <c r="B20" s="37" t="inlineStr">
        <is>
          <t>660 ft</t>
        </is>
      </c>
    </row>
    <row r="21">
      <c r="A21" s="36" t="inlineStr">
        <is>
          <t>Injection fluid gradient (light produced water)</t>
        </is>
      </c>
      <c r="B21" s="37" t="inlineStr">
        <is>
          <t>0.44 psi/ft</t>
        </is>
      </c>
    </row>
    <row r="22">
      <c r="A22" s="36" t="inlineStr">
        <is>
          <t>Tubing roughness ε (new commercial steel)</t>
        </is>
      </c>
      <c r="B22" s="37" t="inlineStr">
        <is>
          <t>0.0018 in</t>
        </is>
      </c>
    </row>
    <row r="23">
      <c r="A23" s="36" t="inlineStr">
        <is>
          <t>Density conversion</t>
        </is>
      </c>
      <c r="B23" s="37" t="inlineStr">
        <is>
          <t>1 lb/gal = 7.481 lb/ft³</t>
        </is>
      </c>
    </row>
    <row r="24">
      <c r="A24" s="36" t="inlineStr">
        <is>
          <t>Water viscosity correlation</t>
        </is>
      </c>
      <c r="B24" s="37" t="inlineStr">
        <is>
          <t>McCain (1990), temperature-only</t>
        </is>
      </c>
    </row>
  </sheetData>
  <mergeCells count="4">
    <mergeCell ref="A3:B3"/>
    <mergeCell ref="A1:E1"/>
    <mergeCell ref="A10:D10"/>
    <mergeCell ref="A17:B17"/>
  </mergeCells>
  <printOptions horizontalCentered="0"/>
  <pageMargins left="0.75" right="0.75" top="1" bottom="1" header="0.5" footer="0.5"/>
  <pageSetup orientation="portrait" fitToHeight="0" fitToWidth="1"/>
  <headerFooter>
    <oddHeader>&amp;LNSLLC Toolkit — Darcy Permeability (RAT)</oddHeader>
    <oddFooter>&amp;L&amp;D&amp;RPage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2026-06-22T22:50:42Z</dcterms:created>
  <dcterms:modified xsi:type="dcterms:W3CDTF">2026-06-22T22:50:42Z</dcterms:modified>
</cp:coreProperties>
</file>